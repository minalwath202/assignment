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e4c315ab4f50a4/Desktop/assigenment/"/>
    </mc:Choice>
  </mc:AlternateContent>
  <xr:revisionPtr revIDLastSave="19" documentId="13_ncr:1_{1D1CF03F-5B12-48F2-B665-4A986BF45B5E}" xr6:coauthVersionLast="47" xr6:coauthVersionMax="47" xr10:uidLastSave="{D2012CBB-414B-4746-865E-254B1862C669}"/>
  <bookViews>
    <workbookView xWindow="-120" yWindow="-120" windowWidth="20730" windowHeight="11160" firstSheet="2" activeTab="2" xr2:uid="{E888ECF8-A8CD-49E1-97C8-22E257C15405}"/>
  </bookViews>
  <sheets>
    <sheet name="VLOOKUP" sheetId="1" r:id="rId1"/>
    <sheet name="HLOOKUP" sheetId="3" r:id="rId2"/>
    <sheet name="XLOOKUP" sheetId="2" r:id="rId3"/>
  </sheets>
  <definedNames>
    <definedName name="Emp_rating">Table25[Rating]</definedName>
    <definedName name="Emp_sal">Table25[Salary]</definedName>
    <definedName name="Employee_ID">Table25[ID]</definedName>
    <definedName name="Employee_Name">Table25[Name]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" l="1"/>
  <c r="I10" i="2"/>
  <c r="O16" i="2"/>
  <c r="O14" i="2"/>
  <c r="O12" i="2"/>
  <c r="O10" i="2"/>
  <c r="O8" i="2"/>
  <c r="K8" i="1"/>
  <c r="K4" i="1"/>
  <c r="K9" i="1"/>
  <c r="K7" i="1"/>
  <c r="K5" i="1"/>
  <c r="K6" i="1"/>
</calcChain>
</file>

<file path=xl/sharedStrings.xml><?xml version="1.0" encoding="utf-8"?>
<sst xmlns="http://schemas.openxmlformats.org/spreadsheetml/2006/main" count="91" uniqueCount="38">
  <si>
    <t>ID</t>
  </si>
  <si>
    <t>Name</t>
  </si>
  <si>
    <t>Dept</t>
  </si>
  <si>
    <t>City</t>
  </si>
  <si>
    <t>Salary</t>
  </si>
  <si>
    <t>Rating</t>
  </si>
  <si>
    <t>Amit Sharma</t>
  </si>
  <si>
    <t>IT</t>
  </si>
  <si>
    <t>Nagpur</t>
  </si>
  <si>
    <t>Priya Patel</t>
  </si>
  <si>
    <t>HR</t>
  </si>
  <si>
    <t>Mumbai</t>
  </si>
  <si>
    <t>Column1</t>
  </si>
  <si>
    <t>Column2</t>
  </si>
  <si>
    <t>Rahul Verma</t>
  </si>
  <si>
    <t>Finance</t>
  </si>
  <si>
    <t>Pune</t>
  </si>
  <si>
    <t>Emp Id</t>
  </si>
  <si>
    <t>Sneha Joshi</t>
  </si>
  <si>
    <t>Sales</t>
  </si>
  <si>
    <t>Delhi</t>
  </si>
  <si>
    <t>Arjun Mehta</t>
  </si>
  <si>
    <t>Bengaluru</t>
  </si>
  <si>
    <t>Neha Singh</t>
  </si>
  <si>
    <t>Marketing</t>
  </si>
  <si>
    <t>Hyderabad</t>
  </si>
  <si>
    <t>Rohit Gupta</t>
  </si>
  <si>
    <t>Chennai</t>
  </si>
  <si>
    <t>Pooja Deshmukh</t>
  </si>
  <si>
    <t>Karan Shah</t>
  </si>
  <si>
    <t>Anjali Rao</t>
  </si>
  <si>
    <t>h</t>
  </si>
  <si>
    <t>Employee Data Search Area</t>
  </si>
  <si>
    <t>Employee ID</t>
  </si>
  <si>
    <t>Employee Name</t>
  </si>
  <si>
    <t>INDEX</t>
  </si>
  <si>
    <t>Department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</si>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</sst>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medium">
        <color theme="8"/>
      </left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8"/>
      </left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 val="0"/>
        <i val="0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able Style 1" pivot="0" count="1" xr9:uid="{AD8ADA2F-B172-41AE-A83B-DF57C2987B15}">
      <tableStyleElement type="wholeTabl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95249</xdr:colOff>
      <xdr:row>4</xdr:row>
      <xdr:rowOff>85726</xdr:rowOff>
    </xdr:from>
    <xdr:to>
      <xdr:col>11</xdr:col>
      <xdr:colOff>523874</xdr:colOff>
      <xdr:row>5</xdr:row>
      <xdr:rowOff>94107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75D60622-2A84-E077-A861-68C0CE71327B}"/>
            </a:ext>
          </a:extLst>
        </xdr:cNvPr>
        <xdr:cNvSpPr/>
      </xdr:nvSpPr>
      <xdr:spPr>
        <a:xfrm>
          <a:off x="6800849" y="885826"/>
          <a:ext cx="428625" cy="20840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FEBF4D-A554-4A2B-B4F4-E39FD29D495C}" name="Table2" displayName="Table2" ref="A1:F11" totalsRowShown="0" headerRowDxfId="2">
  <autoFilter ref="A1:F11" xr:uid="{ECFEBF4D-A554-4A2B-B4F4-E39FD29D495C}"/>
  <tableColumns count="6">
    <tableColumn id="1" xr3:uid="{638D8BE2-FD59-444F-8F23-23F5E762727E}" name="ID"/>
    <tableColumn id="2" xr3:uid="{80AC29A7-44B7-4FB6-8C5D-B0BE4FA02177}" name="Name"/>
    <tableColumn id="3" xr3:uid="{00688224-2AC7-4796-8D45-3FF6EDA5E8F0}" name="Dept"/>
    <tableColumn id="4" xr3:uid="{E98F53DA-A962-4AC6-A95B-7F075BD72491}" name="City"/>
    <tableColumn id="5" xr3:uid="{706F5E18-0955-4F08-8D36-854BB16BE297}" name="Salary"/>
    <tableColumn id="6" xr3:uid="{01CA72EA-D2CA-4E27-A4FA-23ED3E895377}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A0625D-0AF9-49A7-A87A-29726DD7C2E0}" name="Table3" displayName="Table3" ref="J3:K9" totalsRowShown="0">
  <autoFilter ref="J3:K9" xr:uid="{EDA0625D-0AF9-49A7-A87A-29726DD7C2E0}"/>
  <tableColumns count="2">
    <tableColumn id="1" xr3:uid="{0FDA3E07-3707-441E-A47E-CB92C7BD258C}" name="Column1"/>
    <tableColumn id="2" xr3:uid="{DF1414A1-BB0C-4EA8-B919-0B7F25482E47}" name="Column2" dataDxfId="1">
      <calculatedColumnFormula>VLOOKUP(M1,Table2[],3,FALSE)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968DE9-B4DB-44D6-A774-5C9E31797CFF}" name="Table25" displayName="Table25" ref="A1:F11" totalsRowShown="0" headerRowDxfId="0">
  <autoFilter ref="A1:F11" xr:uid="{DA968DE9-B4DB-44D6-A774-5C9E31797CFF}"/>
  <tableColumns count="6">
    <tableColumn id="1" xr3:uid="{DCE5620D-14AC-4EA2-AB97-EF4139634E71}" name="ID"/>
    <tableColumn id="2" xr3:uid="{88627303-30BF-4B7C-8AF6-AF04239A1182}" name="Name"/>
    <tableColumn id="3" xr3:uid="{89B4D91B-C7C2-4BC0-A939-288576CCCC54}" name="Dept"/>
    <tableColumn id="4" xr3:uid="{1BB49177-FEB0-48DD-BB99-B0A274E48441}" name="City"/>
    <tableColumn id="5" xr3:uid="{FF2C7898-B3D8-4200-BC61-4C0A5F5AA9B0}" name="Salary"/>
    <tableColumn id="6" xr3:uid="{EADAECD9-E3F3-41AF-A23C-D0780BEF592F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7634-EC9F-47B7-8306-82C560BB4C19}">
  <dimension ref="A1:M11"/>
  <sheetViews>
    <sheetView workbookViewId="0">
      <selection activeCell="E17" sqref="E17"/>
    </sheetView>
  </sheetViews>
  <sheetFormatPr defaultRowHeight="15"/>
  <cols>
    <col min="2" max="2" width="13.42578125" customWidth="1"/>
    <col min="3" max="3" width="11.140625" customWidth="1"/>
    <col min="4" max="4" width="11.7109375" customWidth="1"/>
    <col min="10" max="10" width="18.5703125" customWidth="1"/>
    <col min="11" max="11" width="16.42578125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>
      <c r="A2">
        <v>101</v>
      </c>
      <c r="B2" t="s">
        <v>6</v>
      </c>
      <c r="C2" t="s">
        <v>7</v>
      </c>
      <c r="D2" t="s">
        <v>8</v>
      </c>
      <c r="E2">
        <v>55000</v>
      </c>
      <c r="F2">
        <v>4.5</v>
      </c>
    </row>
    <row r="3" spans="1:13">
      <c r="A3">
        <v>102</v>
      </c>
      <c r="B3" t="s">
        <v>9</v>
      </c>
      <c r="C3" t="s">
        <v>10</v>
      </c>
      <c r="D3" t="s">
        <v>11</v>
      </c>
      <c r="E3">
        <v>48000</v>
      </c>
      <c r="F3">
        <v>4.2</v>
      </c>
      <c r="J3" t="s">
        <v>12</v>
      </c>
      <c r="K3" t="s">
        <v>13</v>
      </c>
      <c r="M3">
        <v>107</v>
      </c>
    </row>
    <row r="4" spans="1:13">
      <c r="A4">
        <v>103</v>
      </c>
      <c r="B4" t="s">
        <v>14</v>
      </c>
      <c r="C4" t="s">
        <v>15</v>
      </c>
      <c r="D4" t="s">
        <v>16</v>
      </c>
      <c r="E4">
        <v>62000</v>
      </c>
      <c r="F4">
        <v>4.8</v>
      </c>
      <c r="J4" t="s">
        <v>17</v>
      </c>
      <c r="K4">
        <f>VLOOKUP(M3,Table2[],1,FALSE)</f>
        <v>107</v>
      </c>
      <c r="M4" t="s">
        <v>6</v>
      </c>
    </row>
    <row r="5" spans="1:13">
      <c r="A5">
        <v>104</v>
      </c>
      <c r="B5" t="s">
        <v>18</v>
      </c>
      <c r="C5" t="s">
        <v>19</v>
      </c>
      <c r="D5" t="s">
        <v>20</v>
      </c>
      <c r="E5">
        <v>45000</v>
      </c>
      <c r="F5">
        <v>3.9</v>
      </c>
      <c r="J5" t="s">
        <v>1</v>
      </c>
      <c r="K5" t="str">
        <f>VLOOKUP(M3,Table2[],2,FALSE)</f>
        <v>Rohit Gupta</v>
      </c>
    </row>
    <row r="6" spans="1:13">
      <c r="A6">
        <v>105</v>
      </c>
      <c r="B6" t="s">
        <v>21</v>
      </c>
      <c r="C6" t="s">
        <v>7</v>
      </c>
      <c r="D6" t="s">
        <v>22</v>
      </c>
      <c r="E6">
        <v>70000</v>
      </c>
      <c r="F6">
        <v>4.7</v>
      </c>
      <c r="J6" t="s">
        <v>2</v>
      </c>
      <c r="K6" t="str">
        <f>VLOOKUP(M3,Table2[],3,FALSE)</f>
        <v>Finance</v>
      </c>
    </row>
    <row r="7" spans="1:13">
      <c r="A7">
        <v>106</v>
      </c>
      <c r="B7" t="s">
        <v>23</v>
      </c>
      <c r="C7" t="s">
        <v>24</v>
      </c>
      <c r="D7" t="s">
        <v>25</v>
      </c>
      <c r="E7">
        <v>52000</v>
      </c>
      <c r="F7">
        <v>4.0999999999999996</v>
      </c>
      <c r="J7" t="s">
        <v>3</v>
      </c>
      <c r="K7" t="str">
        <f>VLOOKUP(M3,Table2[],4,FALSE)</f>
        <v>Chennai</v>
      </c>
    </row>
    <row r="8" spans="1:13">
      <c r="A8">
        <v>107</v>
      </c>
      <c r="B8" t="s">
        <v>26</v>
      </c>
      <c r="C8" t="s">
        <v>15</v>
      </c>
      <c r="D8" t="s">
        <v>27</v>
      </c>
      <c r="E8">
        <v>58000</v>
      </c>
      <c r="F8">
        <v>4.4000000000000004</v>
      </c>
      <c r="J8" t="s">
        <v>4</v>
      </c>
      <c r="K8">
        <f>VLOOKUP(M4,Table2[[Name]:[Rating]],4,FALSE)</f>
        <v>55000</v>
      </c>
    </row>
    <row r="9" spans="1:13">
      <c r="A9">
        <v>108</v>
      </c>
      <c r="B9" t="s">
        <v>28</v>
      </c>
      <c r="C9" t="s">
        <v>10</v>
      </c>
      <c r="D9" t="s">
        <v>8</v>
      </c>
      <c r="E9">
        <v>46000</v>
      </c>
      <c r="F9">
        <v>4</v>
      </c>
      <c r="J9" t="s">
        <v>5</v>
      </c>
      <c r="K9">
        <f>VLOOKUP(M3,Table2[],6,FALSE)</f>
        <v>4.4000000000000004</v>
      </c>
    </row>
    <row r="10" spans="1:13">
      <c r="A10">
        <v>109</v>
      </c>
      <c r="B10" t="s">
        <v>29</v>
      </c>
      <c r="C10" t="s">
        <v>19</v>
      </c>
      <c r="D10" t="s">
        <v>11</v>
      </c>
      <c r="E10">
        <v>49000</v>
      </c>
      <c r="F10">
        <v>3.8</v>
      </c>
    </row>
    <row r="11" spans="1:13">
      <c r="A11">
        <v>110</v>
      </c>
      <c r="B11" t="s">
        <v>30</v>
      </c>
      <c r="C11" t="s">
        <v>7</v>
      </c>
      <c r="D11" t="s">
        <v>16</v>
      </c>
      <c r="E11">
        <v>68000</v>
      </c>
      <c r="F11">
        <v>4.5999999999999996</v>
      </c>
    </row>
  </sheetData>
  <dataValidations count="1">
    <dataValidation type="list" allowBlank="1" showInputMessage="1" showErrorMessage="1" sqref="M3" xr:uid="{E5368DCE-4F8A-4C70-9374-00337B087516}">
      <formula1>$A$2:$A$11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BAE3-BD7B-401C-ABA3-CA9C8498BD66}">
  <dimension ref="A1"/>
  <sheetViews>
    <sheetView workbookViewId="0">
      <selection activeCell="B3" sqref="B3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9179-2B40-455E-9047-E4FAE1704E39}">
  <dimension ref="A1:R18"/>
  <sheetViews>
    <sheetView tabSelected="1" workbookViewId="0">
      <selection activeCell="I13" sqref="I13"/>
    </sheetView>
  </sheetViews>
  <sheetFormatPr defaultRowHeight="15"/>
  <sheetData>
    <row r="1" spans="1:18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31</v>
      </c>
    </row>
    <row r="2" spans="1:18" ht="15.75" thickBot="1">
      <c r="A2">
        <v>101</v>
      </c>
      <c r="B2" t="s">
        <v>6</v>
      </c>
      <c r="C2" t="s">
        <v>7</v>
      </c>
      <c r="D2" t="s">
        <v>8</v>
      </c>
      <c r="E2">
        <v>55000</v>
      </c>
      <c r="F2">
        <v>4.5</v>
      </c>
      <c r="L2" s="9" t="s">
        <v>32</v>
      </c>
      <c r="M2" s="9"/>
      <c r="N2" s="9"/>
      <c r="O2" s="9"/>
      <c r="P2" s="9"/>
      <c r="Q2" s="2"/>
      <c r="R2" s="2"/>
    </row>
    <row r="3" spans="1:18" ht="15.75" thickBot="1">
      <c r="A3">
        <v>102</v>
      </c>
      <c r="B3" t="s">
        <v>9</v>
      </c>
      <c r="C3" t="s">
        <v>10</v>
      </c>
      <c r="D3" t="s">
        <v>11</v>
      </c>
      <c r="E3">
        <v>48000</v>
      </c>
      <c r="F3">
        <v>4.2</v>
      </c>
      <c r="L3" s="10"/>
      <c r="M3" s="11"/>
      <c r="N3" s="11"/>
      <c r="O3" s="11"/>
      <c r="P3" s="12"/>
      <c r="Q3" s="2"/>
      <c r="R3" s="2"/>
    </row>
    <row r="4" spans="1:18" ht="15.75" thickBot="1">
      <c r="A4">
        <v>103</v>
      </c>
      <c r="B4" t="s">
        <v>14</v>
      </c>
      <c r="C4" t="s">
        <v>15</v>
      </c>
      <c r="D4" t="s">
        <v>16</v>
      </c>
      <c r="E4">
        <v>62000</v>
      </c>
      <c r="F4">
        <v>4.8</v>
      </c>
      <c r="L4" s="13" t="s">
        <v>33</v>
      </c>
      <c r="M4" s="14"/>
      <c r="N4" s="14"/>
      <c r="O4" s="2"/>
      <c r="P4" s="2"/>
      <c r="Q4" s="2"/>
      <c r="R4" s="2"/>
    </row>
    <row r="5" spans="1:18" ht="15.75" thickBot="1">
      <c r="A5">
        <v>104</v>
      </c>
      <c r="B5" t="s">
        <v>18</v>
      </c>
      <c r="C5" t="s">
        <v>19</v>
      </c>
      <c r="D5" t="s">
        <v>20</v>
      </c>
      <c r="E5">
        <v>45000</v>
      </c>
      <c r="F5">
        <v>3.9</v>
      </c>
      <c r="L5" s="15"/>
      <c r="M5" s="17">
        <v>108</v>
      </c>
      <c r="N5" s="18"/>
      <c r="O5" s="18"/>
      <c r="P5" s="19"/>
      <c r="Q5" s="2"/>
      <c r="R5" s="2"/>
    </row>
    <row r="6" spans="1:18" ht="15.75" thickBot="1">
      <c r="A6">
        <v>105</v>
      </c>
      <c r="B6" t="s">
        <v>21</v>
      </c>
      <c r="C6" t="s">
        <v>7</v>
      </c>
      <c r="D6" t="s">
        <v>22</v>
      </c>
      <c r="E6">
        <v>70000</v>
      </c>
      <c r="F6">
        <v>4.7</v>
      </c>
      <c r="L6" s="16"/>
      <c r="M6" s="20"/>
      <c r="N6" s="21"/>
      <c r="O6" s="21"/>
      <c r="P6" s="22"/>
      <c r="Q6" s="2"/>
      <c r="R6" s="2"/>
    </row>
    <row r="7" spans="1:18" ht="15.75" thickBot="1">
      <c r="A7">
        <v>106</v>
      </c>
      <c r="B7" t="s">
        <v>23</v>
      </c>
      <c r="C7" t="s">
        <v>24</v>
      </c>
      <c r="D7" t="s">
        <v>25</v>
      </c>
      <c r="E7">
        <v>52000</v>
      </c>
      <c r="F7">
        <v>4.0999999999999996</v>
      </c>
      <c r="L7" s="2"/>
      <c r="M7" s="2"/>
      <c r="N7" s="2"/>
      <c r="O7" s="2"/>
      <c r="P7" s="2"/>
      <c r="Q7" s="2"/>
      <c r="R7" s="2"/>
    </row>
    <row r="8" spans="1:18" ht="15.75" thickBot="1">
      <c r="A8">
        <v>107</v>
      </c>
      <c r="B8" t="s">
        <v>26</v>
      </c>
      <c r="C8" t="s">
        <v>15</v>
      </c>
      <c r="D8" t="s">
        <v>27</v>
      </c>
      <c r="E8">
        <v>58000</v>
      </c>
      <c r="F8">
        <v>4.4000000000000004</v>
      </c>
      <c r="L8" s="3" t="s">
        <v>34</v>
      </c>
      <c r="M8" s="4"/>
      <c r="N8" s="5"/>
      <c r="O8" s="6" t="str">
        <f>_xlfn.XLOOKUP(M5,Table25[ID],Table25[Name],_xleta.NA)</f>
        <v>Pooja Deshmukh</v>
      </c>
      <c r="P8" s="7"/>
      <c r="Q8" s="7"/>
      <c r="R8" s="8"/>
    </row>
    <row r="9" spans="1:18" ht="15.75" thickBot="1">
      <c r="A9">
        <v>108</v>
      </c>
      <c r="B9" t="s">
        <v>28</v>
      </c>
      <c r="C9" t="s">
        <v>10</v>
      </c>
      <c r="D9" t="s">
        <v>8</v>
      </c>
      <c r="E9">
        <v>46000</v>
      </c>
      <c r="F9">
        <v>4</v>
      </c>
      <c r="L9" s="2"/>
      <c r="M9" s="2"/>
      <c r="N9" s="2"/>
      <c r="O9" s="2"/>
      <c r="P9" s="2"/>
      <c r="Q9" s="2"/>
      <c r="R9" s="2"/>
    </row>
    <row r="10" spans="1:18" ht="15.75" thickBot="1">
      <c r="A10">
        <v>109</v>
      </c>
      <c r="B10" t="s">
        <v>29</v>
      </c>
      <c r="C10" t="s">
        <v>19</v>
      </c>
      <c r="D10" t="s">
        <v>11</v>
      </c>
      <c r="E10">
        <v>49000</v>
      </c>
      <c r="F10">
        <v>3.8</v>
      </c>
      <c r="H10" t="s">
        <v>35</v>
      </c>
      <c r="I10">
        <f>INDEX(Table25[],4,5)</f>
        <v>45000</v>
      </c>
      <c r="L10" s="3" t="s">
        <v>36</v>
      </c>
      <c r="M10" s="4"/>
      <c r="N10" s="5"/>
      <c r="O10" s="6" t="str">
        <f>_xlfn.XLOOKUP(M5,Table25[ID],Table25[Dept],_xleta.NA)</f>
        <v>HR</v>
      </c>
      <c r="P10" s="7"/>
      <c r="Q10" s="7"/>
      <c r="R10" s="8"/>
    </row>
    <row r="11" spans="1:18" ht="15.75" thickBot="1">
      <c r="A11">
        <v>110</v>
      </c>
      <c r="B11" t="s">
        <v>30</v>
      </c>
      <c r="C11" t="s">
        <v>7</v>
      </c>
      <c r="D11" t="s">
        <v>16</v>
      </c>
      <c r="E11">
        <v>68000</v>
      </c>
      <c r="F11">
        <v>4.5999999999999996</v>
      </c>
      <c r="L11" s="2"/>
      <c r="M11" s="2"/>
      <c r="N11" s="2"/>
      <c r="O11" s="2"/>
      <c r="P11" s="2"/>
      <c r="Q11" s="2"/>
      <c r="R11" s="2"/>
    </row>
    <row r="12" spans="1:18" ht="15.75" thickBot="1">
      <c r="H12" t="s">
        <v>37</v>
      </c>
      <c r="I12">
        <f>MATCH("Pooja Deshmukh",Table25[Name],0)</f>
        <v>8</v>
      </c>
      <c r="L12" s="3" t="s">
        <v>3</v>
      </c>
      <c r="M12" s="4"/>
      <c r="N12" s="5"/>
      <c r="O12" s="6" t="str">
        <f>_xlfn.XLOOKUP(M5,Table25[ID],Table25[City],_xleta.NA)</f>
        <v>Nagpur</v>
      </c>
      <c r="P12" s="7"/>
      <c r="Q12" s="7"/>
      <c r="R12" s="8"/>
    </row>
    <row r="13" spans="1:18" ht="15.75" thickBot="1">
      <c r="L13" s="2"/>
      <c r="M13" s="2"/>
      <c r="N13" s="2"/>
      <c r="O13" s="2"/>
      <c r="P13" s="2"/>
      <c r="Q13" s="2"/>
      <c r="R13" s="2"/>
    </row>
    <row r="14" spans="1:18" ht="15.75" thickBot="1">
      <c r="L14" s="3" t="s">
        <v>4</v>
      </c>
      <c r="M14" s="4"/>
      <c r="N14" s="5"/>
      <c r="O14" s="6">
        <f>_xlfn.XLOOKUP(M5,Table25[ID],Table25[Salary],_xleta.NA)</f>
        <v>46000</v>
      </c>
      <c r="P14" s="7"/>
      <c r="Q14" s="7"/>
      <c r="R14" s="8"/>
    </row>
    <row r="15" spans="1:18" ht="15.75" thickBot="1">
      <c r="L15" s="2"/>
      <c r="M15" s="2"/>
      <c r="N15" s="2"/>
      <c r="O15" s="2"/>
      <c r="P15" s="2"/>
      <c r="Q15" s="2"/>
      <c r="R15" s="2"/>
    </row>
    <row r="16" spans="1:18" ht="15.75" thickBot="1">
      <c r="L16" s="3" t="s">
        <v>5</v>
      </c>
      <c r="M16" s="4"/>
      <c r="N16" s="5"/>
      <c r="O16" s="6">
        <f>_xlfn.XLOOKUP(M5,Table25[ID],Table25[Rating],_xleta.NA)</f>
        <v>4</v>
      </c>
      <c r="P16" s="7"/>
      <c r="Q16" s="7"/>
      <c r="R16" s="8"/>
    </row>
    <row r="17" spans="12:18" ht="15.75" thickBot="1">
      <c r="L17" s="2"/>
      <c r="M17" s="2"/>
      <c r="N17" s="2"/>
      <c r="O17" s="2"/>
      <c r="P17" s="2"/>
      <c r="Q17" s="2"/>
      <c r="R17" s="2"/>
    </row>
    <row r="18" spans="12:18" ht="15.75" thickBot="1">
      <c r="L18" s="2"/>
      <c r="M18" s="2"/>
      <c r="N18" s="2"/>
      <c r="O18" s="2"/>
      <c r="P18" s="2"/>
      <c r="Q18" s="2"/>
      <c r="R18" s="2"/>
    </row>
  </sheetData>
  <mergeCells count="15">
    <mergeCell ref="L2:P2"/>
    <mergeCell ref="L3:P3"/>
    <mergeCell ref="L4:N4"/>
    <mergeCell ref="L5:L6"/>
    <mergeCell ref="M5:P6"/>
    <mergeCell ref="O8:R8"/>
    <mergeCell ref="O10:R10"/>
    <mergeCell ref="O12:R12"/>
    <mergeCell ref="O14:R14"/>
    <mergeCell ref="O16:R16"/>
    <mergeCell ref="L8:N8"/>
    <mergeCell ref="L10:N10"/>
    <mergeCell ref="L12:N12"/>
    <mergeCell ref="L14:N14"/>
    <mergeCell ref="L16:N16"/>
  </mergeCells>
  <dataValidations count="2">
    <dataValidation type="list" allowBlank="1" showInputMessage="1" showErrorMessage="1" sqref="L4:N4" xr:uid="{BFB1A14B-9E2E-44A3-AFBD-AFCC8A0E942F}">
      <formula1>"Employee ID,Employee Name"</formula1>
    </dataValidation>
    <dataValidation type="list" allowBlank="1" showInputMessage="1" showErrorMessage="1" sqref="M5:P6" xr:uid="{5A35F58A-6AE0-4A44-90E5-6114956A0B22}">
      <formula1>INDIRECT(SUBSTITUTE($L$4," ","_"))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Minal Wath</dc:creator>
  <cp:keywords/>
  <dc:description/>
  <cp:lastModifiedBy>Minal Wath</cp:lastModifiedBy>
  <cp:revision/>
  <dcterms:created xsi:type="dcterms:W3CDTF">2026-07-18T08:03:39Z</dcterms:created>
  <dcterms:modified xsi:type="dcterms:W3CDTF">2026-07-19T09:04:43Z</dcterms:modified>
  <cp:category/>
  <cp:contentStatus/>
</cp:coreProperties>
</file>